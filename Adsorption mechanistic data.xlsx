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cademics\Dan TTU Thesis\Germany-Expts\"/>
    </mc:Choice>
  </mc:AlternateContent>
  <xr:revisionPtr revIDLastSave="0" documentId="13_ncr:1_{AA8D336B-153B-4CE3-9E23-DF9D2124C7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4" i="1"/>
  <c r="G25" i="1"/>
  <c r="H25" i="1" s="1"/>
  <c r="G26" i="1"/>
  <c r="H26" i="1" s="1"/>
  <c r="G27" i="1"/>
  <c r="H27" i="1" s="1"/>
  <c r="J27" i="1" s="1"/>
  <c r="G28" i="1"/>
  <c r="H28" i="1" s="1"/>
  <c r="J28" i="1" s="1"/>
  <c r="G24" i="1"/>
  <c r="H24" i="1" s="1"/>
  <c r="J16" i="1"/>
  <c r="K16" i="1" s="1"/>
  <c r="I15" i="1"/>
  <c r="I16" i="1"/>
  <c r="I17" i="1"/>
  <c r="I18" i="1"/>
  <c r="I14" i="1"/>
  <c r="H15" i="1"/>
  <c r="H16" i="1"/>
  <c r="H17" i="1"/>
  <c r="H18" i="1"/>
  <c r="H14" i="1"/>
  <c r="S37" i="1"/>
  <c r="R37" i="1"/>
  <c r="S36" i="1"/>
  <c r="R36" i="1"/>
  <c r="S35" i="1"/>
  <c r="R35" i="1"/>
  <c r="S34" i="1"/>
  <c r="R34" i="1"/>
  <c r="S33" i="1"/>
  <c r="R33" i="1"/>
  <c r="S30" i="1"/>
  <c r="R30" i="1"/>
  <c r="S29" i="1"/>
  <c r="R29" i="1"/>
  <c r="S28" i="1"/>
  <c r="R28" i="1"/>
  <c r="S27" i="1"/>
  <c r="R27" i="1"/>
  <c r="S26" i="1"/>
  <c r="R26" i="1"/>
  <c r="S23" i="1"/>
  <c r="R23" i="1"/>
  <c r="S22" i="1"/>
  <c r="R22" i="1"/>
  <c r="S21" i="1"/>
  <c r="R21" i="1"/>
  <c r="S20" i="1"/>
  <c r="R20" i="1"/>
  <c r="S19" i="1"/>
  <c r="R19" i="1"/>
  <c r="S16" i="1"/>
  <c r="R16" i="1"/>
  <c r="S15" i="1"/>
  <c r="R15" i="1"/>
  <c r="S14" i="1"/>
  <c r="R14" i="1"/>
  <c r="S13" i="1"/>
  <c r="R13" i="1"/>
  <c r="S12" i="1"/>
  <c r="R12" i="1"/>
  <c r="S9" i="1"/>
  <c r="R9" i="1"/>
  <c r="S8" i="1"/>
  <c r="R8" i="1"/>
  <c r="S7" i="1"/>
  <c r="R7" i="1"/>
  <c r="S6" i="1"/>
  <c r="R6" i="1"/>
  <c r="S5" i="1"/>
  <c r="R5" i="1"/>
  <c r="E16" i="1"/>
  <c r="G16" i="1" s="1"/>
  <c r="E17" i="1"/>
  <c r="F17" i="1" s="1"/>
  <c r="C15" i="1"/>
  <c r="E15" i="1" s="1"/>
  <c r="C16" i="1"/>
  <c r="C17" i="1"/>
  <c r="C18" i="1"/>
  <c r="E18" i="1" s="1"/>
  <c r="J18" i="1" s="1"/>
  <c r="K18" i="1" s="1"/>
  <c r="C14" i="1"/>
  <c r="E14" i="1" s="1"/>
  <c r="J14" i="1" s="1"/>
  <c r="K14" i="1" s="1"/>
  <c r="I6" i="1"/>
  <c r="I7" i="1"/>
  <c r="I8" i="1"/>
  <c r="I9" i="1"/>
  <c r="I5" i="1"/>
  <c r="C6" i="1"/>
  <c r="F6" i="1" s="1"/>
  <c r="C7" i="1"/>
  <c r="F7" i="1" s="1"/>
  <c r="C8" i="1"/>
  <c r="E8" i="1" s="1"/>
  <c r="G8" i="1" s="1"/>
  <c r="C9" i="1"/>
  <c r="F9" i="1" s="1"/>
  <c r="C5" i="1"/>
  <c r="F5" i="1" s="1"/>
  <c r="C25" i="1"/>
  <c r="D25" i="1" s="1"/>
  <c r="C26" i="1"/>
  <c r="D26" i="1" s="1"/>
  <c r="C27" i="1"/>
  <c r="C28" i="1"/>
  <c r="D28" i="1" s="1"/>
  <c r="C24" i="1"/>
  <c r="D24" i="1" s="1"/>
  <c r="J24" i="1" l="1"/>
  <c r="K24" i="1" s="1"/>
  <c r="F15" i="1"/>
  <c r="J15" i="1"/>
  <c r="K15" i="1" s="1"/>
  <c r="J17" i="1"/>
  <c r="K17" i="1" s="1"/>
  <c r="F14" i="1"/>
  <c r="G14" i="1"/>
  <c r="G18" i="1"/>
  <c r="F18" i="1"/>
  <c r="G15" i="1"/>
  <c r="G17" i="1"/>
  <c r="F16" i="1"/>
  <c r="K27" i="1"/>
  <c r="K28" i="1"/>
  <c r="D27" i="1"/>
  <c r="H8" i="1"/>
  <c r="E5" i="1"/>
  <c r="G5" i="1" s="1"/>
  <c r="E9" i="1"/>
  <c r="F8" i="1"/>
  <c r="E7" i="1"/>
  <c r="E6" i="1"/>
  <c r="G6" i="1" s="1"/>
  <c r="J25" i="1"/>
  <c r="K25" i="1" s="1"/>
  <c r="J26" i="1"/>
  <c r="K26" i="1" s="1"/>
  <c r="H7" i="1" l="1"/>
  <c r="G7" i="1"/>
  <c r="H9" i="1"/>
  <c r="G9" i="1"/>
  <c r="H6" i="1"/>
  <c r="H5" i="1"/>
</calcChain>
</file>

<file path=xl/sharedStrings.xml><?xml version="1.0" encoding="utf-8"?>
<sst xmlns="http://schemas.openxmlformats.org/spreadsheetml/2006/main" count="67" uniqueCount="63">
  <si>
    <t>Co</t>
  </si>
  <si>
    <t>Ce</t>
  </si>
  <si>
    <t>qe</t>
  </si>
  <si>
    <t>lnce</t>
  </si>
  <si>
    <t>lnqe</t>
  </si>
  <si>
    <t>ce/qe</t>
  </si>
  <si>
    <t>ln(qe-q(t))</t>
  </si>
  <si>
    <t>t/q(t)</t>
  </si>
  <si>
    <t>1/T</t>
  </si>
  <si>
    <t>DG</t>
  </si>
  <si>
    <t>Re</t>
  </si>
  <si>
    <t>E</t>
  </si>
  <si>
    <t>P2</t>
  </si>
  <si>
    <t>P8</t>
  </si>
  <si>
    <t>P13</t>
  </si>
  <si>
    <t>P14</t>
  </si>
  <si>
    <t>P15</t>
  </si>
  <si>
    <t>Co (mg/L)</t>
  </si>
  <si>
    <t>t (min)</t>
  </si>
  <si>
    <t>Ce (mg/L)</t>
  </si>
  <si>
    <t>Re (%)</t>
  </si>
  <si>
    <t>Mean</t>
  </si>
  <si>
    <t>STDEV</t>
  </si>
  <si>
    <t>RL</t>
  </si>
  <si>
    <t>Ce (mg/g)</t>
  </si>
  <si>
    <t>qt (mg/g)</t>
  </si>
  <si>
    <t>Code</t>
  </si>
  <si>
    <t>lnt</t>
  </si>
  <si>
    <t>t^0.5</t>
  </si>
  <si>
    <t>T (oC )</t>
  </si>
  <si>
    <t>T (K)</t>
  </si>
  <si>
    <t>Bt</t>
  </si>
  <si>
    <t>qe/qm</t>
  </si>
  <si>
    <t>1-(qe/qm)</t>
  </si>
  <si>
    <t>Ln Ce</t>
  </si>
  <si>
    <t>qe (mg/g)</t>
  </si>
  <si>
    <t>Adsoption data for equilibrium Isotherm analyses</t>
  </si>
  <si>
    <t>Adsorption data Kinetic analyses</t>
  </si>
  <si>
    <t>Influence of adsorption Variables on Pb removal</t>
  </si>
  <si>
    <t>A (g/L)</t>
  </si>
  <si>
    <t>B (mg/L)</t>
  </si>
  <si>
    <t>C (min)</t>
  </si>
  <si>
    <t>D (oC)</t>
  </si>
  <si>
    <t>F = qt/qe</t>
  </si>
  <si>
    <t>Pb removal (%)</t>
  </si>
  <si>
    <t>Trial 1</t>
  </si>
  <si>
    <t>Trial 2</t>
  </si>
  <si>
    <t>Trial 3</t>
  </si>
  <si>
    <t>Variables</t>
  </si>
  <si>
    <t>KL (L/mg)</t>
  </si>
  <si>
    <t>K</t>
  </si>
  <si>
    <t>ln K</t>
  </si>
  <si>
    <t>Thermodynamics data</t>
  </si>
  <si>
    <t>E11</t>
  </si>
  <si>
    <t>E6</t>
  </si>
  <si>
    <t>E10</t>
  </si>
  <si>
    <t>E3</t>
  </si>
  <si>
    <t>E5</t>
  </si>
  <si>
    <t>K4</t>
  </si>
  <si>
    <t>K1</t>
  </si>
  <si>
    <t>K9</t>
  </si>
  <si>
    <t>K7</t>
  </si>
  <si>
    <t>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</si>
</sst>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justify" vertical="center" wrapText="1"/>
    </xf>
    <xf numFmtId="1" fontId="0" fillId="0" borderId="0" xfId="0" applyNumberForma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/>
    <xf numFmtId="0" fontId="4" fillId="0" borderId="0" xfId="0" applyFont="1" applyBorder="1" applyAlignment="1">
      <alignment horizontal="justify" vertical="center"/>
    </xf>
    <xf numFmtId="0" fontId="5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right" vertical="center"/>
    </xf>
    <xf numFmtId="0" fontId="0" fillId="0" borderId="0" xfId="0" applyAlignment="1"/>
    <xf numFmtId="0" fontId="4" fillId="0" borderId="0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justify" vertic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41"/>
  <sheetViews>
    <sheetView tabSelected="1" zoomScale="78" zoomScaleNormal="78" workbookViewId="0">
      <selection activeCell="A22" sqref="A22:K28"/>
    </sheetView>
  </sheetViews>
  <sheetFormatPr defaultRowHeight="15" x14ac:dyDescent="0.25"/>
  <cols>
    <col min="3" max="3" width="9.5703125" bestFit="1" customWidth="1"/>
    <col min="4" max="4" width="10.140625" customWidth="1"/>
    <col min="9" max="9" width="15.140625" customWidth="1"/>
    <col min="11" max="11" width="9.85546875" customWidth="1"/>
  </cols>
  <sheetData>
    <row r="2" spans="1:24" ht="15.75" x14ac:dyDescent="0.25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N2" s="20" t="s">
        <v>38</v>
      </c>
      <c r="O2" s="20"/>
      <c r="P2" s="20"/>
      <c r="Q2" s="20"/>
      <c r="R2" s="20"/>
      <c r="S2" s="20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s="16" t="s">
        <v>48</v>
      </c>
      <c r="O3" s="21" t="s">
        <v>44</v>
      </c>
      <c r="P3" s="22"/>
      <c r="Q3" s="22"/>
      <c r="R3" s="22"/>
      <c r="S3" s="23"/>
      <c r="T3" s="14"/>
      <c r="U3" s="14"/>
      <c r="V3" s="14"/>
      <c r="W3" s="14"/>
    </row>
    <row r="4" spans="1:24" x14ac:dyDescent="0.25">
      <c r="A4" s="2" t="s">
        <v>26</v>
      </c>
      <c r="B4" s="2" t="s">
        <v>17</v>
      </c>
      <c r="C4" s="2" t="s">
        <v>19</v>
      </c>
      <c r="D4" s="2" t="s">
        <v>20</v>
      </c>
      <c r="E4" s="2" t="s">
        <v>35</v>
      </c>
      <c r="F4" s="2" t="s">
        <v>3</v>
      </c>
      <c r="G4" s="2" t="s">
        <v>4</v>
      </c>
      <c r="H4" s="2" t="s">
        <v>5</v>
      </c>
      <c r="I4" s="2" t="s">
        <v>23</v>
      </c>
      <c r="J4" s="2" t="s">
        <v>32</v>
      </c>
      <c r="K4" s="2" t="s">
        <v>33</v>
      </c>
      <c r="L4" s="2" t="s">
        <v>34</v>
      </c>
      <c r="N4" s="17" t="s">
        <v>39</v>
      </c>
      <c r="O4" s="17" t="s">
        <v>45</v>
      </c>
      <c r="P4" s="16" t="s">
        <v>46</v>
      </c>
      <c r="Q4" s="16" t="s">
        <v>47</v>
      </c>
      <c r="R4" s="16" t="s">
        <v>21</v>
      </c>
      <c r="S4" s="16" t="s">
        <v>22</v>
      </c>
      <c r="T4" s="10"/>
      <c r="U4" s="10"/>
      <c r="V4" s="10"/>
      <c r="W4" s="10"/>
      <c r="X4" s="10"/>
    </row>
    <row r="5" spans="1:24" x14ac:dyDescent="0.25">
      <c r="A5" s="2" t="s">
        <v>53</v>
      </c>
      <c r="B5" s="2">
        <v>50</v>
      </c>
      <c r="C5" s="19">
        <f>B5*(1-(D5/100))</f>
        <v>0.92284999999999728</v>
      </c>
      <c r="D5" s="2">
        <v>98.154300000000006</v>
      </c>
      <c r="E5" s="2">
        <f>((B5-C5)/0.8)*0.4</f>
        <v>24.538575000000002</v>
      </c>
      <c r="F5" s="2">
        <f>LN(C5)</f>
        <v>-8.0288571228839742E-2</v>
      </c>
      <c r="G5" s="2">
        <f>LN(E5)</f>
        <v>3.2002463691370693</v>
      </c>
      <c r="H5" s="2">
        <f>C5/E5</f>
        <v>3.7608133316624832E-2</v>
      </c>
      <c r="I5" s="2">
        <f>1/(1+(0.21*B5))</f>
        <v>8.6956521739130432E-2</v>
      </c>
      <c r="J5" s="2">
        <v>0.1901773231031543</v>
      </c>
      <c r="K5" s="2">
        <v>0.80982267689684573</v>
      </c>
      <c r="L5" s="2">
        <v>-8.0288571228836855E-2</v>
      </c>
      <c r="N5" s="2">
        <v>0.4</v>
      </c>
      <c r="O5" s="2">
        <v>94.68</v>
      </c>
      <c r="P5" s="2">
        <v>94.12</v>
      </c>
      <c r="Q5" s="2">
        <v>94.86</v>
      </c>
      <c r="R5" s="2">
        <f>AVERAGE(O5:Q5)</f>
        <v>94.553333333333342</v>
      </c>
      <c r="S5" s="2">
        <f>STDEV(O5:Q5)</f>
        <v>0.38591881702416642</v>
      </c>
      <c r="T5" s="15"/>
      <c r="U5" s="15"/>
      <c r="V5" s="15"/>
      <c r="W5" s="15"/>
      <c r="X5" s="10"/>
    </row>
    <row r="6" spans="1:24" ht="15.75" x14ac:dyDescent="0.25">
      <c r="A6" s="2" t="s">
        <v>54</v>
      </c>
      <c r="B6" s="2">
        <v>100</v>
      </c>
      <c r="C6" s="19">
        <f t="shared" ref="C6:C9" si="0">B6*(1-(D6/100))</f>
        <v>2.8666700000000045</v>
      </c>
      <c r="D6" s="2">
        <v>97.133330000000001</v>
      </c>
      <c r="E6" s="2">
        <f t="shared" ref="E6:E9" si="1">((B6-C6)/0.8)*0.4</f>
        <v>48.566665</v>
      </c>
      <c r="F6" s="2">
        <f t="shared" ref="F6:F9" si="2">LN(C6)</f>
        <v>1.0531510773813755</v>
      </c>
      <c r="G6" s="2">
        <f t="shared" ref="G6:G9" si="3">LN(E6)</f>
        <v>3.8829373902159592</v>
      </c>
      <c r="H6" s="2">
        <f t="shared" ref="H6:H9" si="4">C6/E6</f>
        <v>5.9025465306296085E-2</v>
      </c>
      <c r="I6" s="2">
        <f t="shared" ref="I6:I9" si="5">1/(1+(0.21*B6))</f>
        <v>4.5454545454545456E-2</v>
      </c>
      <c r="J6" s="2">
        <v>0.37639827946989074</v>
      </c>
      <c r="K6" s="2">
        <v>0.6236017205301092</v>
      </c>
      <c r="L6" s="2">
        <v>1.0531510773813739</v>
      </c>
      <c r="N6" s="2">
        <v>0.6</v>
      </c>
      <c r="O6" s="2">
        <v>97.41</v>
      </c>
      <c r="P6" s="2">
        <v>96.97</v>
      </c>
      <c r="Q6" s="2">
        <v>97.12</v>
      </c>
      <c r="R6" s="2">
        <f t="shared" ref="R6:R37" si="6">AVERAGE(O6:Q6)</f>
        <v>97.166666666666671</v>
      </c>
      <c r="S6" s="2">
        <f t="shared" ref="S6:S37" si="7">STDEV(O6:Q6)</f>
        <v>0.2236813209307664</v>
      </c>
      <c r="T6" s="11"/>
      <c r="U6" s="11"/>
      <c r="V6" s="12"/>
      <c r="W6" s="11"/>
      <c r="X6" s="10"/>
    </row>
    <row r="7" spans="1:24" x14ac:dyDescent="0.25">
      <c r="A7" s="2" t="s">
        <v>55</v>
      </c>
      <c r="B7" s="2">
        <v>150</v>
      </c>
      <c r="C7" s="19">
        <f t="shared" si="0"/>
        <v>6.8650049999999911</v>
      </c>
      <c r="D7" s="2">
        <v>95.423330000000007</v>
      </c>
      <c r="E7" s="2">
        <f t="shared" si="1"/>
        <v>71.567497500000002</v>
      </c>
      <c r="F7" s="2">
        <f t="shared" si="2"/>
        <v>1.9264367675517873</v>
      </c>
      <c r="G7" s="2">
        <f t="shared" si="3"/>
        <v>4.2706410253714093</v>
      </c>
      <c r="H7" s="2">
        <f t="shared" si="4"/>
        <v>9.5923502145649167E-2</v>
      </c>
      <c r="I7" s="2">
        <f t="shared" si="5"/>
        <v>3.0769230769230771E-2</v>
      </c>
      <c r="J7" s="2">
        <v>0.55465783151205139</v>
      </c>
      <c r="K7" s="2">
        <v>0.44534216848794861</v>
      </c>
      <c r="L7" s="2">
        <v>1.9264367675517886</v>
      </c>
      <c r="N7" s="2">
        <v>0.8</v>
      </c>
      <c r="O7" s="2">
        <v>98.69</v>
      </c>
      <c r="P7" s="2">
        <v>98.23</v>
      </c>
      <c r="Q7" s="2">
        <v>98.76</v>
      </c>
      <c r="R7" s="2">
        <f t="shared" si="6"/>
        <v>98.56</v>
      </c>
      <c r="S7" s="2">
        <f t="shared" si="7"/>
        <v>0.28792360097775838</v>
      </c>
      <c r="T7" s="11"/>
      <c r="U7" s="11"/>
      <c r="V7" s="13"/>
      <c r="W7" s="13"/>
      <c r="X7" s="10"/>
    </row>
    <row r="8" spans="1:24" x14ac:dyDescent="0.25">
      <c r="A8" s="2" t="s">
        <v>56</v>
      </c>
      <c r="B8" s="2">
        <v>200</v>
      </c>
      <c r="C8" s="19">
        <f t="shared" si="0"/>
        <v>14.159999999999995</v>
      </c>
      <c r="D8" s="2">
        <v>92.92</v>
      </c>
      <c r="E8" s="2">
        <f t="shared" si="1"/>
        <v>92.92</v>
      </c>
      <c r="F8" s="2">
        <f t="shared" si="2"/>
        <v>2.6504210882655732</v>
      </c>
      <c r="G8" s="2">
        <f t="shared" si="3"/>
        <v>4.5317389079022083</v>
      </c>
      <c r="H8" s="2">
        <f t="shared" si="4"/>
        <v>0.15238915195867406</v>
      </c>
      <c r="I8" s="2">
        <f t="shared" si="5"/>
        <v>2.3255813953488372E-2</v>
      </c>
      <c r="J8" s="2">
        <v>0.72014260249554363</v>
      </c>
      <c r="K8" s="2">
        <v>0.27985739750445637</v>
      </c>
      <c r="L8" s="2">
        <v>2.6504210882655737</v>
      </c>
      <c r="N8" s="2">
        <v>1</v>
      </c>
      <c r="O8" s="2">
        <v>99.12</v>
      </c>
      <c r="P8" s="2">
        <v>98.89</v>
      </c>
      <c r="Q8" s="2">
        <v>99.23</v>
      </c>
      <c r="R8" s="2">
        <f t="shared" si="6"/>
        <v>99.08</v>
      </c>
      <c r="S8" s="2">
        <f t="shared" si="7"/>
        <v>0.17349351572897667</v>
      </c>
      <c r="T8" s="11"/>
      <c r="U8" s="11"/>
      <c r="V8" s="13"/>
      <c r="W8" s="13"/>
      <c r="X8" s="10"/>
    </row>
    <row r="9" spans="1:24" x14ac:dyDescent="0.25">
      <c r="A9" s="2" t="s">
        <v>57</v>
      </c>
      <c r="B9" s="2">
        <v>250</v>
      </c>
      <c r="C9" s="19">
        <f t="shared" si="0"/>
        <v>27.060000000000002</v>
      </c>
      <c r="D9" s="2">
        <v>89.176000000000002</v>
      </c>
      <c r="E9" s="2">
        <f t="shared" si="1"/>
        <v>111.46999999999998</v>
      </c>
      <c r="F9" s="2">
        <f t="shared" si="2"/>
        <v>3.2980566227426422</v>
      </c>
      <c r="G9" s="2">
        <f t="shared" si="3"/>
        <v>4.7137554964015322</v>
      </c>
      <c r="H9" s="2">
        <f t="shared" si="4"/>
        <v>0.24275589844801299</v>
      </c>
      <c r="I9" s="2">
        <f t="shared" si="5"/>
        <v>1.8691588785046728E-2</v>
      </c>
      <c r="J9" s="2">
        <v>0.86390761838332164</v>
      </c>
      <c r="K9" s="2">
        <v>0.13609238161667836</v>
      </c>
      <c r="L9" s="2">
        <v>3.2980566227426418</v>
      </c>
      <c r="N9" s="2">
        <v>1.2</v>
      </c>
      <c r="O9" s="2">
        <v>98.96</v>
      </c>
      <c r="P9" s="2">
        <v>98.86</v>
      </c>
      <c r="Q9" s="2">
        <v>98.97</v>
      </c>
      <c r="R9" s="2">
        <f t="shared" si="6"/>
        <v>98.929999999999993</v>
      </c>
      <c r="S9" s="2">
        <f t="shared" si="7"/>
        <v>6.0827625302980609E-2</v>
      </c>
      <c r="T9" s="11"/>
      <c r="U9" s="11"/>
      <c r="V9" s="13"/>
      <c r="W9" s="13"/>
      <c r="X9" s="10"/>
    </row>
    <row r="10" spans="1:24" x14ac:dyDescent="0.25">
      <c r="N10" s="2"/>
      <c r="O10" s="2"/>
      <c r="P10" s="2"/>
      <c r="Q10" s="2"/>
      <c r="R10" s="2"/>
      <c r="S10" s="2"/>
      <c r="T10" s="11"/>
      <c r="U10" s="11"/>
      <c r="V10" s="13"/>
      <c r="W10" s="13"/>
      <c r="X10" s="10"/>
    </row>
    <row r="11" spans="1:24" ht="15.75" customHeight="1" x14ac:dyDescent="0.25">
      <c r="A11" s="24" t="s">
        <v>37</v>
      </c>
      <c r="B11" s="25"/>
      <c r="C11" s="25"/>
      <c r="D11" s="25"/>
      <c r="E11" s="25"/>
      <c r="F11" s="25"/>
      <c r="G11" s="25"/>
      <c r="H11" s="25"/>
      <c r="I11" s="25"/>
      <c r="J11" s="25"/>
      <c r="K11" s="26"/>
      <c r="N11" s="16" t="s">
        <v>40</v>
      </c>
      <c r="O11" s="2" t="s">
        <v>10</v>
      </c>
      <c r="P11" s="2"/>
      <c r="Q11" s="2"/>
      <c r="R11" s="2"/>
      <c r="S11" s="2"/>
      <c r="T11" s="11"/>
      <c r="U11" s="11"/>
      <c r="V11" s="13"/>
      <c r="W11" s="13"/>
      <c r="X11" s="10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N12" s="2">
        <v>50</v>
      </c>
      <c r="O12" s="2">
        <v>98.68</v>
      </c>
      <c r="P12" s="2">
        <v>98.14</v>
      </c>
      <c r="Q12" s="2">
        <v>98.17</v>
      </c>
      <c r="R12" s="2">
        <f t="shared" si="6"/>
        <v>98.33</v>
      </c>
      <c r="S12" s="2">
        <f t="shared" si="7"/>
        <v>0.30347981810987368</v>
      </c>
      <c r="T12" s="11"/>
      <c r="U12" s="11"/>
      <c r="V12" s="13"/>
      <c r="W12" s="13"/>
      <c r="X12" s="10"/>
    </row>
    <row r="13" spans="1:24" x14ac:dyDescent="0.25">
      <c r="A13" s="2" t="s">
        <v>26</v>
      </c>
      <c r="B13" s="2" t="s">
        <v>18</v>
      </c>
      <c r="C13" s="2" t="s">
        <v>24</v>
      </c>
      <c r="D13" s="2" t="s">
        <v>10</v>
      </c>
      <c r="E13" s="2" t="s">
        <v>25</v>
      </c>
      <c r="F13" s="2" t="s">
        <v>6</v>
      </c>
      <c r="G13" s="2" t="s">
        <v>7</v>
      </c>
      <c r="H13" s="2" t="s">
        <v>27</v>
      </c>
      <c r="I13" s="3" t="s">
        <v>28</v>
      </c>
      <c r="J13" s="2" t="s">
        <v>43</v>
      </c>
      <c r="K13" s="2" t="s">
        <v>31</v>
      </c>
      <c r="N13" s="2">
        <v>100</v>
      </c>
      <c r="O13" s="2">
        <v>96.47</v>
      </c>
      <c r="P13" s="2">
        <v>95.78</v>
      </c>
      <c r="Q13" s="2">
        <v>96.15</v>
      </c>
      <c r="R13" s="2">
        <f t="shared" si="6"/>
        <v>96.133333333333326</v>
      </c>
      <c r="S13" s="2">
        <f t="shared" si="7"/>
        <v>0.34530180036213631</v>
      </c>
      <c r="T13" s="11"/>
      <c r="U13" s="11"/>
      <c r="V13" s="13"/>
      <c r="W13" s="13"/>
      <c r="X13" s="10"/>
    </row>
    <row r="14" spans="1:24" x14ac:dyDescent="0.25">
      <c r="A14" s="2" t="s">
        <v>58</v>
      </c>
      <c r="B14" s="2">
        <v>20</v>
      </c>
      <c r="C14" s="19">
        <f>120*(1-(D14/100))</f>
        <v>8.188799999999997</v>
      </c>
      <c r="D14" s="2">
        <v>93.176000000000002</v>
      </c>
      <c r="E14" s="2">
        <f xml:space="preserve"> ((120-C14)/0.8)*0.7</f>
        <v>97.834799999999987</v>
      </c>
      <c r="F14" s="2">
        <f>LN(129.03-E14)</f>
        <v>3.4402642368260574</v>
      </c>
      <c r="G14" s="2">
        <f>B14/E14</f>
        <v>0.20442623688094627</v>
      </c>
      <c r="H14" s="2">
        <f>LN(B14)</f>
        <v>2.9957322735539909</v>
      </c>
      <c r="I14" s="4">
        <f>B14^0.5</f>
        <v>4.4721359549995796</v>
      </c>
      <c r="J14" s="2">
        <f>E14/129.03</f>
        <v>0.7582329690769587</v>
      </c>
      <c r="K14" s="2">
        <f xml:space="preserve"> -0.4977-LN(1-J14)</f>
        <v>0.92208069863769682</v>
      </c>
      <c r="N14" s="2">
        <v>150</v>
      </c>
      <c r="O14" s="2">
        <v>95.79</v>
      </c>
      <c r="P14" s="2">
        <v>95.34</v>
      </c>
      <c r="Q14" s="2">
        <v>95.14</v>
      </c>
      <c r="R14" s="2">
        <f t="shared" si="6"/>
        <v>95.423333333333332</v>
      </c>
      <c r="S14" s="2">
        <f t="shared" si="7"/>
        <v>0.33291640592397242</v>
      </c>
      <c r="T14" s="11"/>
      <c r="U14" s="11"/>
      <c r="V14" s="13"/>
      <c r="W14" s="13"/>
      <c r="X14" s="10"/>
    </row>
    <row r="15" spans="1:24" x14ac:dyDescent="0.25">
      <c r="A15" s="2" t="s">
        <v>59</v>
      </c>
      <c r="B15" s="2">
        <v>30</v>
      </c>
      <c r="C15" s="19">
        <f t="shared" ref="C15:C18" si="8">120*(1-(D15/100))</f>
        <v>2.8640039999999889</v>
      </c>
      <c r="D15" s="2">
        <v>97.613330000000005</v>
      </c>
      <c r="E15" s="2">
        <f t="shared" ref="E15:E18" si="9" xml:space="preserve"> ((120-C15)/0.8)*0.7</f>
        <v>102.49399649999999</v>
      </c>
      <c r="F15" s="2">
        <f t="shared" ref="F15:F18" si="10">LN(129.03-E15)</f>
        <v>3.2785024335410347</v>
      </c>
      <c r="G15" s="2">
        <f t="shared" ref="G15:G18" si="11">B15/E15</f>
        <v>0.29270007048656749</v>
      </c>
      <c r="H15" s="2">
        <f t="shared" ref="H15:H18" si="12">LN(B15)</f>
        <v>3.4011973816621555</v>
      </c>
      <c r="I15" s="4">
        <f t="shared" ref="I15:I18" si="13">B15^0.5</f>
        <v>5.4772255750516612</v>
      </c>
      <c r="J15" s="2">
        <f t="shared" ref="J15:J18" si="14">E15/129.03</f>
        <v>0.79434237386654261</v>
      </c>
      <c r="K15" s="2">
        <f t="shared" ref="K15:K18" si="15" xml:space="preserve"> -0.4977-LN(1-J15)</f>
        <v>1.0838425019227198</v>
      </c>
      <c r="N15" s="2">
        <v>200</v>
      </c>
      <c r="O15" s="2">
        <v>95.16</v>
      </c>
      <c r="P15" s="2">
        <v>94.67</v>
      </c>
      <c r="Q15" s="2">
        <v>94.93</v>
      </c>
      <c r="R15" s="2">
        <f t="shared" si="6"/>
        <v>94.92</v>
      </c>
      <c r="S15" s="2">
        <f t="shared" si="7"/>
        <v>0.24515301344262286</v>
      </c>
      <c r="T15" s="11"/>
      <c r="U15" s="11"/>
      <c r="V15" s="13"/>
      <c r="W15" s="13"/>
      <c r="X15" s="10"/>
    </row>
    <row r="16" spans="1:24" x14ac:dyDescent="0.25">
      <c r="A16" s="2" t="s">
        <v>60</v>
      </c>
      <c r="B16" s="2">
        <v>40</v>
      </c>
      <c r="C16" s="19">
        <f t="shared" si="8"/>
        <v>1.8960000000000043</v>
      </c>
      <c r="D16" s="2">
        <v>98.42</v>
      </c>
      <c r="E16" s="2">
        <f t="shared" si="9"/>
        <v>103.34099999999999</v>
      </c>
      <c r="F16" s="2">
        <f t="shared" si="10"/>
        <v>3.2460628847121651</v>
      </c>
      <c r="G16" s="2">
        <f t="shared" si="11"/>
        <v>0.38706805624098861</v>
      </c>
      <c r="H16" s="2">
        <f t="shared" si="12"/>
        <v>3.6888794541139363</v>
      </c>
      <c r="I16" s="4">
        <f t="shared" si="13"/>
        <v>6.324555320336759</v>
      </c>
      <c r="J16" s="2">
        <f t="shared" si="14"/>
        <v>0.80090676586840259</v>
      </c>
      <c r="K16" s="2">
        <f t="shared" si="15"/>
        <v>1.1162820507515894</v>
      </c>
      <c r="N16" s="2">
        <v>250</v>
      </c>
      <c r="O16" s="2">
        <v>94.97</v>
      </c>
      <c r="P16" s="2">
        <v>94.32</v>
      </c>
      <c r="Q16" s="2">
        <v>94.23</v>
      </c>
      <c r="R16" s="2">
        <f t="shared" si="6"/>
        <v>94.506666666666661</v>
      </c>
      <c r="S16" s="2">
        <f t="shared" si="7"/>
        <v>0.40377386410382354</v>
      </c>
      <c r="T16" s="11"/>
      <c r="U16" s="11"/>
      <c r="V16" s="13"/>
      <c r="W16" s="13"/>
      <c r="X16" s="10"/>
    </row>
    <row r="17" spans="1:24" x14ac:dyDescent="0.25">
      <c r="A17" s="2" t="s">
        <v>61</v>
      </c>
      <c r="B17" s="2">
        <v>50</v>
      </c>
      <c r="C17" s="19">
        <f t="shared" si="8"/>
        <v>2.5559999999999983</v>
      </c>
      <c r="D17" s="2">
        <v>97.87</v>
      </c>
      <c r="E17" s="2">
        <f t="shared" si="9"/>
        <v>102.76349999999999</v>
      </c>
      <c r="F17" s="2">
        <f t="shared" si="10"/>
        <v>3.2682943629979282</v>
      </c>
      <c r="G17" s="2">
        <f t="shared" si="11"/>
        <v>0.48655407805300521</v>
      </c>
      <c r="H17" s="2">
        <f t="shared" si="12"/>
        <v>3.912023005428146</v>
      </c>
      <c r="I17" s="4">
        <f t="shared" si="13"/>
        <v>7.0710678118654755</v>
      </c>
      <c r="J17" s="2">
        <f t="shared" si="14"/>
        <v>0.79643106254359441</v>
      </c>
      <c r="K17" s="2">
        <f t="shared" si="15"/>
        <v>1.094050572465826</v>
      </c>
      <c r="N17" s="2"/>
      <c r="O17" s="2"/>
      <c r="P17" s="2"/>
      <c r="Q17" s="2"/>
      <c r="R17" s="2"/>
      <c r="S17" s="2"/>
      <c r="T17" s="11"/>
      <c r="U17" s="11"/>
      <c r="V17" s="13"/>
      <c r="W17" s="13"/>
      <c r="X17" s="10"/>
    </row>
    <row r="18" spans="1:24" x14ac:dyDescent="0.25">
      <c r="A18" s="2" t="s">
        <v>62</v>
      </c>
      <c r="B18" s="2">
        <v>60</v>
      </c>
      <c r="C18" s="19">
        <f t="shared" si="8"/>
        <v>0.91200000000000614</v>
      </c>
      <c r="D18" s="2">
        <v>99.24</v>
      </c>
      <c r="E18" s="2">
        <f t="shared" si="9"/>
        <v>104.20199999999998</v>
      </c>
      <c r="F18" s="2">
        <f t="shared" si="10"/>
        <v>3.2119720485514072</v>
      </c>
      <c r="G18" s="2">
        <f t="shared" si="11"/>
        <v>0.57580468705015264</v>
      </c>
      <c r="H18" s="2">
        <f t="shared" si="12"/>
        <v>4.0943445622221004</v>
      </c>
      <c r="I18" s="4">
        <f t="shared" si="13"/>
        <v>7.745966692414834</v>
      </c>
      <c r="J18" s="2">
        <f t="shared" si="14"/>
        <v>0.80757963264357113</v>
      </c>
      <c r="K18" s="2">
        <f t="shared" si="15"/>
        <v>1.1503728869123477</v>
      </c>
      <c r="N18" s="16" t="s">
        <v>41</v>
      </c>
      <c r="O18" s="2" t="s">
        <v>10</v>
      </c>
      <c r="P18" s="2"/>
      <c r="Q18" s="2"/>
      <c r="R18" s="2"/>
      <c r="S18" s="2"/>
      <c r="T18" s="11"/>
      <c r="U18" s="11"/>
      <c r="V18" s="13"/>
      <c r="W18" s="13"/>
      <c r="X18" s="10"/>
    </row>
    <row r="19" spans="1:24" x14ac:dyDescent="0.25">
      <c r="K19" s="1"/>
      <c r="N19" s="2">
        <v>20</v>
      </c>
      <c r="O19" s="2">
        <v>93.47</v>
      </c>
      <c r="P19" s="2">
        <v>92.897999999999996</v>
      </c>
      <c r="Q19" s="2">
        <v>93.16</v>
      </c>
      <c r="R19" s="2">
        <f t="shared" si="6"/>
        <v>93.176000000000002</v>
      </c>
      <c r="S19" s="2">
        <f t="shared" si="7"/>
        <v>0.28633546759002942</v>
      </c>
      <c r="T19" s="11"/>
      <c r="U19" s="11"/>
      <c r="V19" s="13"/>
      <c r="W19" s="13"/>
      <c r="X19" s="10"/>
    </row>
    <row r="20" spans="1:24" x14ac:dyDescent="0.25">
      <c r="K20" s="1"/>
      <c r="N20" s="2">
        <v>30</v>
      </c>
      <c r="O20" s="2">
        <v>97.94</v>
      </c>
      <c r="P20" s="2">
        <v>97.56</v>
      </c>
      <c r="Q20" s="2">
        <v>97.34</v>
      </c>
      <c r="R20" s="2">
        <f t="shared" si="6"/>
        <v>97.613333333333344</v>
      </c>
      <c r="S20" s="2">
        <f t="shared" si="7"/>
        <v>0.30353473167552264</v>
      </c>
      <c r="T20" s="11"/>
      <c r="U20" s="11"/>
      <c r="V20" s="13"/>
      <c r="W20" s="13"/>
      <c r="X20" s="10"/>
    </row>
    <row r="21" spans="1:24" x14ac:dyDescent="0.25">
      <c r="A21" s="21" t="s">
        <v>52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  <c r="N21" s="2">
        <v>40</v>
      </c>
      <c r="O21" s="2">
        <v>98.13</v>
      </c>
      <c r="P21" s="2">
        <v>98.45</v>
      </c>
      <c r="Q21" s="2">
        <v>98.68</v>
      </c>
      <c r="R21" s="2">
        <f t="shared" si="6"/>
        <v>98.42</v>
      </c>
      <c r="S21" s="2">
        <f t="shared" si="7"/>
        <v>0.27622454633866839</v>
      </c>
      <c r="T21" s="11"/>
      <c r="U21" s="11"/>
      <c r="V21" s="13"/>
      <c r="W21" s="13"/>
      <c r="X21" s="10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N22" s="2">
        <v>50</v>
      </c>
      <c r="O22" s="2">
        <v>98.86</v>
      </c>
      <c r="P22" s="2">
        <v>98.79</v>
      </c>
      <c r="Q22" s="2">
        <v>98.96</v>
      </c>
      <c r="R22" s="2">
        <f t="shared" si="6"/>
        <v>98.87</v>
      </c>
      <c r="S22" s="2">
        <f t="shared" si="7"/>
        <v>8.5440037453169124E-2</v>
      </c>
      <c r="T22" s="11"/>
      <c r="U22" s="11"/>
      <c r="V22" s="13"/>
      <c r="W22" s="13"/>
      <c r="X22" s="10"/>
    </row>
    <row r="23" spans="1:24" x14ac:dyDescent="0.25">
      <c r="A23" s="18" t="s">
        <v>29</v>
      </c>
      <c r="B23" s="2" t="s">
        <v>26</v>
      </c>
      <c r="C23" s="2" t="s">
        <v>30</v>
      </c>
      <c r="D23" s="2" t="s">
        <v>8</v>
      </c>
      <c r="E23" s="2" t="s">
        <v>0</v>
      </c>
      <c r="F23" s="2" t="s">
        <v>1</v>
      </c>
      <c r="G23" s="2" t="s">
        <v>2</v>
      </c>
      <c r="H23" s="2" t="s">
        <v>49</v>
      </c>
      <c r="I23" s="2" t="s">
        <v>50</v>
      </c>
      <c r="J23" s="2" t="s">
        <v>51</v>
      </c>
      <c r="K23" s="2" t="s">
        <v>9</v>
      </c>
      <c r="N23" s="2">
        <v>60</v>
      </c>
      <c r="O23" s="2">
        <v>99.1</v>
      </c>
      <c r="P23" s="2">
        <v>99.16</v>
      </c>
      <c r="Q23" s="2">
        <v>99.46</v>
      </c>
      <c r="R23" s="2">
        <f t="shared" si="6"/>
        <v>99.24</v>
      </c>
      <c r="S23" s="2">
        <f t="shared" si="7"/>
        <v>0.19287301521985831</v>
      </c>
      <c r="T23" s="11"/>
      <c r="U23" s="11"/>
      <c r="V23" s="13"/>
      <c r="W23" s="13"/>
      <c r="X23" s="10"/>
    </row>
    <row r="24" spans="1:24" x14ac:dyDescent="0.25">
      <c r="A24" s="2">
        <v>20</v>
      </c>
      <c r="B24" s="2" t="s">
        <v>12</v>
      </c>
      <c r="C24" s="2">
        <f>A24+273</f>
        <v>293</v>
      </c>
      <c r="D24" s="2">
        <f>1/C24</f>
        <v>3.4129692832764505E-3</v>
      </c>
      <c r="E24" s="2">
        <v>120.61</v>
      </c>
      <c r="F24" s="2">
        <v>10.9</v>
      </c>
      <c r="G24" s="2">
        <f>(((E24-F24)/0.8)*0.6)</f>
        <v>82.282499999999985</v>
      </c>
      <c r="H24" s="2">
        <f>G24/(F24*(129.03-G24))</f>
        <v>0.16148143132807466</v>
      </c>
      <c r="I24" s="2">
        <f>H24*207.2*1000</f>
        <v>33458.952571177062</v>
      </c>
      <c r="J24" s="2">
        <f xml:space="preserve"> LN(I24)</f>
        <v>10.418074670141007</v>
      </c>
      <c r="K24" s="2">
        <f>(-8.314*C24*J24)/1000</f>
        <v>-25.378450732612833</v>
      </c>
      <c r="N24" s="2"/>
      <c r="O24" s="2"/>
      <c r="P24" s="2"/>
      <c r="Q24" s="2"/>
      <c r="R24" s="2"/>
      <c r="S24" s="2"/>
      <c r="T24" s="11"/>
      <c r="U24" s="11"/>
      <c r="V24" s="13"/>
      <c r="W24" s="13"/>
      <c r="X24" s="10"/>
    </row>
    <row r="25" spans="1:24" x14ac:dyDescent="0.25">
      <c r="A25" s="2">
        <v>30</v>
      </c>
      <c r="B25" s="2" t="s">
        <v>13</v>
      </c>
      <c r="C25" s="2">
        <f>A25+273</f>
        <v>303</v>
      </c>
      <c r="D25" s="2">
        <f t="shared" ref="D25:D28" si="16">1/C25</f>
        <v>3.3003300330033004E-3</v>
      </c>
      <c r="E25" s="2">
        <v>120.61</v>
      </c>
      <c r="F25" s="2">
        <v>8.3000000000000007</v>
      </c>
      <c r="G25" s="2">
        <f t="shared" ref="G25:G28" si="17">(((E25-F25)/0.8)*0.6)</f>
        <v>84.232499999999987</v>
      </c>
      <c r="H25" s="2">
        <f t="shared" ref="H25:H28" si="18">G25/(F25*(129.03-G25))</f>
        <v>0.22654152521688956</v>
      </c>
      <c r="I25" s="2">
        <f t="shared" ref="I25:I28" si="19">H25*207.2*1000</f>
        <v>46939.404024939511</v>
      </c>
      <c r="J25" s="2">
        <f t="shared" ref="J25:J28" si="20" xml:space="preserve"> LN(I25)</f>
        <v>10.756612772795643</v>
      </c>
      <c r="K25" s="2">
        <f t="shared" ref="K25:K28" si="21">(-8.314*C25*J25)/1000</f>
        <v>-27.09743501368596</v>
      </c>
      <c r="N25" s="16" t="s">
        <v>42</v>
      </c>
      <c r="O25" s="2"/>
      <c r="P25" s="2"/>
      <c r="Q25" s="2"/>
      <c r="R25" s="2"/>
      <c r="S25" s="2"/>
      <c r="T25" s="11"/>
      <c r="U25" s="11"/>
      <c r="V25" s="13"/>
      <c r="W25" s="13"/>
      <c r="X25" s="10"/>
    </row>
    <row r="26" spans="1:24" x14ac:dyDescent="0.25">
      <c r="A26" s="2">
        <v>40</v>
      </c>
      <c r="B26" s="2" t="s">
        <v>14</v>
      </c>
      <c r="C26" s="2">
        <f>A26+273</f>
        <v>313</v>
      </c>
      <c r="D26" s="2">
        <f t="shared" si="16"/>
        <v>3.1948881789137379E-3</v>
      </c>
      <c r="E26" s="2">
        <v>120.61</v>
      </c>
      <c r="F26" s="2">
        <v>3.85</v>
      </c>
      <c r="G26" s="2">
        <f t="shared" si="17"/>
        <v>87.57</v>
      </c>
      <c r="H26" s="2">
        <f t="shared" si="18"/>
        <v>0.5486120247335875</v>
      </c>
      <c r="I26" s="2">
        <f t="shared" si="19"/>
        <v>113672.41152479933</v>
      </c>
      <c r="J26" s="2">
        <f t="shared" si="20"/>
        <v>11.641076007594272</v>
      </c>
      <c r="K26" s="2">
        <f t="shared" si="21"/>
        <v>-30.293362555194438</v>
      </c>
      <c r="N26" s="2">
        <v>20</v>
      </c>
      <c r="O26" s="2">
        <v>94.67</v>
      </c>
      <c r="P26" s="2">
        <v>94.12</v>
      </c>
      <c r="Q26" s="2">
        <v>93.83</v>
      </c>
      <c r="R26" s="2">
        <f t="shared" si="6"/>
        <v>94.206666666666663</v>
      </c>
      <c r="S26" s="2">
        <f t="shared" si="7"/>
        <v>0.42665364563464636</v>
      </c>
      <c r="T26" s="11"/>
      <c r="U26" s="11"/>
      <c r="V26" s="13"/>
      <c r="W26" s="13"/>
      <c r="X26" s="10"/>
    </row>
    <row r="27" spans="1:24" x14ac:dyDescent="0.25">
      <c r="A27" s="2">
        <v>50</v>
      </c>
      <c r="B27" s="2" t="s">
        <v>15</v>
      </c>
      <c r="C27" s="2">
        <f>A27+273</f>
        <v>323</v>
      </c>
      <c r="D27" s="2">
        <f t="shared" si="16"/>
        <v>3.0959752321981426E-3</v>
      </c>
      <c r="E27" s="2">
        <v>120.61</v>
      </c>
      <c r="F27" s="2">
        <v>2.97</v>
      </c>
      <c r="G27" s="2">
        <f t="shared" si="17"/>
        <v>88.22999999999999</v>
      </c>
      <c r="H27" s="2">
        <f t="shared" si="18"/>
        <v>0.72811447811447771</v>
      </c>
      <c r="I27" s="2">
        <f t="shared" si="19"/>
        <v>150865.31986531979</v>
      </c>
      <c r="J27" s="2">
        <f t="shared" si="20"/>
        <v>11.924142796376753</v>
      </c>
      <c r="K27" s="2">
        <f t="shared" si="21"/>
        <v>-32.021355396531654</v>
      </c>
      <c r="N27" s="2">
        <v>30</v>
      </c>
      <c r="O27" s="2">
        <v>97.43</v>
      </c>
      <c r="P27" s="2">
        <v>97.39</v>
      </c>
      <c r="Q27" s="2">
        <v>96.82</v>
      </c>
      <c r="R27" s="2">
        <f t="shared" si="6"/>
        <v>97.213333333333324</v>
      </c>
      <c r="S27" s="2">
        <f t="shared" si="7"/>
        <v>0.34122328955295178</v>
      </c>
      <c r="T27" s="11"/>
      <c r="U27" s="11"/>
      <c r="V27" s="13"/>
      <c r="W27" s="13"/>
      <c r="X27" s="10"/>
    </row>
    <row r="28" spans="1:24" x14ac:dyDescent="0.25">
      <c r="A28" s="2">
        <v>70</v>
      </c>
      <c r="B28" s="2" t="s">
        <v>16</v>
      </c>
      <c r="C28" s="2">
        <f>A28+273</f>
        <v>343</v>
      </c>
      <c r="D28" s="2">
        <f t="shared" si="16"/>
        <v>2.9154518950437317E-3</v>
      </c>
      <c r="E28" s="2">
        <v>120.61</v>
      </c>
      <c r="F28" s="2">
        <v>2.3199999999999998</v>
      </c>
      <c r="G28" s="2">
        <f t="shared" si="17"/>
        <v>88.717500000000001</v>
      </c>
      <c r="H28" s="2">
        <f t="shared" si="18"/>
        <v>0.94859663191659993</v>
      </c>
      <c r="I28" s="2">
        <f t="shared" si="19"/>
        <v>196549.22213311947</v>
      </c>
      <c r="J28" s="2">
        <f t="shared" si="20"/>
        <v>12.188668173239119</v>
      </c>
      <c r="K28" s="2">
        <f t="shared" si="21"/>
        <v>-34.758449406962349</v>
      </c>
      <c r="N28" s="2">
        <v>40</v>
      </c>
      <c r="O28" s="2">
        <v>98.45</v>
      </c>
      <c r="P28" s="2">
        <v>99.12</v>
      </c>
      <c r="Q28" s="2">
        <v>98.72</v>
      </c>
      <c r="R28" s="2">
        <f t="shared" si="6"/>
        <v>98.763333333333321</v>
      </c>
      <c r="S28" s="2">
        <f t="shared" si="7"/>
        <v>0.33709543653590762</v>
      </c>
      <c r="T28" s="11"/>
      <c r="U28" s="11"/>
      <c r="V28" s="13"/>
      <c r="W28" s="13"/>
      <c r="X28" s="10"/>
    </row>
    <row r="29" spans="1:24" x14ac:dyDescent="0.25">
      <c r="N29" s="2">
        <v>50</v>
      </c>
      <c r="O29" s="2">
        <v>98.72</v>
      </c>
      <c r="P29" s="2">
        <v>98.78</v>
      </c>
      <c r="Q29" s="2">
        <v>98.94</v>
      </c>
      <c r="R29" s="2">
        <f t="shared" si="6"/>
        <v>98.813333333333333</v>
      </c>
      <c r="S29" s="2">
        <f t="shared" si="7"/>
        <v>0.11372481406154557</v>
      </c>
      <c r="T29" s="11"/>
      <c r="U29" s="11"/>
      <c r="V29" s="13"/>
      <c r="W29" s="13"/>
      <c r="X29" s="10"/>
    </row>
    <row r="30" spans="1:24" x14ac:dyDescent="0.25">
      <c r="N30" s="2">
        <v>60</v>
      </c>
      <c r="O30" s="2">
        <v>99.12</v>
      </c>
      <c r="P30" s="2">
        <v>98.98</v>
      </c>
      <c r="Q30" s="2">
        <v>99.63</v>
      </c>
      <c r="R30" s="2">
        <f t="shared" si="6"/>
        <v>99.243333333333339</v>
      </c>
      <c r="S30" s="2">
        <f t="shared" si="7"/>
        <v>0.34210134950527449</v>
      </c>
      <c r="T30" s="11"/>
      <c r="U30" s="11"/>
      <c r="V30" s="13"/>
      <c r="W30" s="13"/>
      <c r="X30" s="10"/>
    </row>
    <row r="31" spans="1:24" x14ac:dyDescent="0.25">
      <c r="N31" s="2"/>
      <c r="O31" s="2"/>
      <c r="P31" s="2"/>
      <c r="Q31" s="2"/>
      <c r="R31" s="2"/>
      <c r="S31" s="2"/>
      <c r="T31" s="11"/>
      <c r="U31" s="11"/>
      <c r="V31" s="13"/>
      <c r="W31" s="13"/>
      <c r="X31" s="10"/>
    </row>
    <row r="32" spans="1:24" x14ac:dyDescent="0.25">
      <c r="N32" s="16" t="s">
        <v>11</v>
      </c>
      <c r="O32" s="2"/>
      <c r="P32" s="2"/>
      <c r="Q32" s="2"/>
      <c r="R32" s="2"/>
      <c r="S32" s="2"/>
      <c r="T32" s="11"/>
      <c r="U32" s="11"/>
      <c r="V32" s="13"/>
      <c r="W32" s="13"/>
      <c r="X32" s="10"/>
    </row>
    <row r="33" spans="2:24" x14ac:dyDescent="0.25">
      <c r="N33" s="2">
        <v>2</v>
      </c>
      <c r="O33" s="2">
        <v>53.46</v>
      </c>
      <c r="P33" s="2">
        <v>48.43</v>
      </c>
      <c r="Q33" s="2">
        <v>54.72</v>
      </c>
      <c r="R33" s="2">
        <f t="shared" si="6"/>
        <v>52.20333333333334</v>
      </c>
      <c r="S33" s="2">
        <f t="shared" si="7"/>
        <v>3.3279773637050676</v>
      </c>
      <c r="T33" s="11"/>
      <c r="U33" s="11"/>
      <c r="V33" s="13"/>
      <c r="W33" s="13"/>
      <c r="X33" s="10"/>
    </row>
    <row r="34" spans="2:24" x14ac:dyDescent="0.25">
      <c r="N34" s="2">
        <v>4</v>
      </c>
      <c r="O34" s="2">
        <v>76.180000000000007</v>
      </c>
      <c r="P34" s="2">
        <v>78.14</v>
      </c>
      <c r="Q34" s="2">
        <v>75.28</v>
      </c>
      <c r="R34" s="2">
        <f t="shared" si="6"/>
        <v>76.533333333333331</v>
      </c>
      <c r="S34" s="2">
        <f t="shared" si="7"/>
        <v>1.4623725015649502</v>
      </c>
      <c r="T34" s="11"/>
      <c r="U34" s="11"/>
      <c r="V34" s="13"/>
      <c r="W34" s="13"/>
      <c r="X34" s="10"/>
    </row>
    <row r="35" spans="2:24" x14ac:dyDescent="0.25">
      <c r="N35" s="2">
        <v>6</v>
      </c>
      <c r="O35" s="2">
        <v>98.74</v>
      </c>
      <c r="P35" s="2">
        <v>97.17</v>
      </c>
      <c r="Q35" s="2">
        <v>98.04</v>
      </c>
      <c r="R35" s="2">
        <f t="shared" si="6"/>
        <v>97.983333333333334</v>
      </c>
      <c r="S35" s="2">
        <f t="shared" si="7"/>
        <v>0.78653247443022245</v>
      </c>
      <c r="T35" s="11"/>
      <c r="U35" s="11"/>
      <c r="V35" s="13"/>
      <c r="W35" s="13"/>
      <c r="X35" s="10"/>
    </row>
    <row r="36" spans="2:24" ht="15.75" x14ac:dyDescent="0.25">
      <c r="B36" s="5"/>
      <c r="C36" s="6"/>
      <c r="D36" s="6"/>
      <c r="E36" s="6"/>
      <c r="F36" s="6"/>
      <c r="G36" s="6"/>
      <c r="H36" s="6"/>
      <c r="I36" s="5"/>
      <c r="N36" s="2">
        <v>8</v>
      </c>
      <c r="O36" s="2">
        <v>95.68</v>
      </c>
      <c r="P36" s="2">
        <v>94.31</v>
      </c>
      <c r="Q36" s="2">
        <v>95.73</v>
      </c>
      <c r="R36" s="2">
        <f t="shared" si="6"/>
        <v>95.240000000000009</v>
      </c>
      <c r="S36" s="2">
        <f t="shared" si="7"/>
        <v>0.80579153631693279</v>
      </c>
      <c r="T36" s="11"/>
      <c r="U36" s="11"/>
      <c r="V36" s="13"/>
      <c r="W36" s="13"/>
      <c r="X36" s="10"/>
    </row>
    <row r="37" spans="2:24" ht="15.75" x14ac:dyDescent="0.25">
      <c r="B37" s="5"/>
      <c r="C37" s="7"/>
      <c r="D37" s="7"/>
      <c r="E37" s="7"/>
      <c r="F37" s="7"/>
      <c r="G37" s="7"/>
      <c r="H37" s="7"/>
      <c r="I37" s="5"/>
      <c r="N37" s="2">
        <v>10</v>
      </c>
      <c r="O37" s="2">
        <v>93.53</v>
      </c>
      <c r="P37" s="2">
        <v>92.18</v>
      </c>
      <c r="Q37" s="2">
        <v>91.51</v>
      </c>
      <c r="R37" s="2">
        <f t="shared" si="6"/>
        <v>92.40666666666668</v>
      </c>
      <c r="S37" s="2">
        <f t="shared" si="7"/>
        <v>1.0288990880224009</v>
      </c>
      <c r="T37" s="11"/>
      <c r="U37" s="11"/>
      <c r="V37" s="13"/>
      <c r="W37" s="13"/>
      <c r="X37" s="10"/>
    </row>
    <row r="38" spans="2:24" ht="15.75" x14ac:dyDescent="0.25">
      <c r="B38" s="5"/>
      <c r="C38" s="7"/>
      <c r="D38" s="7"/>
      <c r="E38" s="7"/>
      <c r="F38" s="7"/>
      <c r="G38" s="7"/>
      <c r="H38" s="7"/>
      <c r="I38" s="5"/>
      <c r="N38" s="10"/>
      <c r="O38" s="11"/>
      <c r="P38" s="11"/>
      <c r="Q38" s="11"/>
      <c r="R38" s="11"/>
      <c r="S38" s="11"/>
      <c r="T38" s="11"/>
      <c r="U38" s="11"/>
      <c r="V38" s="13"/>
      <c r="W38" s="13"/>
      <c r="X38" s="10"/>
    </row>
    <row r="39" spans="2:24" ht="15.75" x14ac:dyDescent="0.25">
      <c r="B39" s="5"/>
      <c r="C39" s="7"/>
      <c r="D39" s="7"/>
      <c r="E39" s="7"/>
      <c r="F39" s="7"/>
      <c r="G39" s="7"/>
      <c r="H39" s="7"/>
      <c r="I39" s="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2:24" ht="15.75" x14ac:dyDescent="0.25">
      <c r="B40" s="5"/>
      <c r="C40" s="7"/>
      <c r="D40" s="7"/>
      <c r="E40" s="7"/>
      <c r="F40" s="7"/>
      <c r="G40" s="7"/>
      <c r="H40" s="7"/>
      <c r="I40" s="5"/>
    </row>
    <row r="41" spans="2:24" x14ac:dyDescent="0.25">
      <c r="B41" s="5"/>
      <c r="C41" s="5"/>
      <c r="D41" s="5"/>
      <c r="E41" s="8"/>
      <c r="F41" s="9"/>
      <c r="G41" s="5"/>
      <c r="H41" s="5"/>
      <c r="I41" s="5"/>
    </row>
  </sheetData>
  <mergeCells count="5">
    <mergeCell ref="N2:S2"/>
    <mergeCell ref="O3:S3"/>
    <mergeCell ref="A21:K21"/>
    <mergeCell ref="A11:K1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TIGAN</dc:creator>
  <cp:lastModifiedBy>user</cp:lastModifiedBy>
  <dcterms:created xsi:type="dcterms:W3CDTF">2015-06-05T18:17:20Z</dcterms:created>
  <dcterms:modified xsi:type="dcterms:W3CDTF">2025-10-13T14:23:04Z</dcterms:modified>
</cp:coreProperties>
</file>