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Academics\Research\Ivan Kita\Data\"/>
    </mc:Choice>
  </mc:AlternateContent>
  <xr:revisionPtr revIDLastSave="0" documentId="13_ncr:1_{885481B9-C4FA-4F07-A19C-8C0C2DBC7092}" xr6:coauthVersionLast="47" xr6:coauthVersionMax="47" xr10:uidLastSave="{00000000-0000-0000-0000-000000000000}"/>
  <bookViews>
    <workbookView xWindow="30" yWindow="30" windowWidth="20460" windowHeight="10770" xr2:uid="{00000000-000D-0000-FFFF-FFFF00000000}"/>
  </bookViews>
  <sheets>
    <sheet name="Iso-Kin" sheetId="3" r:id="rId1"/>
    <sheet name="Sheet1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8" i="4"/>
  <c r="C9" i="4"/>
  <c r="C10" i="4"/>
  <c r="C11" i="4"/>
  <c r="C12" i="4"/>
  <c r="C2" i="4"/>
  <c r="G6" i="3"/>
  <c r="G7" i="3" s="1"/>
  <c r="G8" i="3" s="1"/>
  <c r="G9" i="3" s="1"/>
  <c r="G10" i="3" s="1"/>
  <c r="G11" i="3" s="1"/>
  <c r="G12" i="3" s="1"/>
  <c r="G13" i="3" s="1"/>
  <c r="G14" i="3" s="1"/>
  <c r="G5" i="3"/>
</calcChain>
</file>

<file path=xl/sharedStrings.xml><?xml version="1.0" encoding="utf-8"?>
<sst xmlns="http://schemas.openxmlformats.org/spreadsheetml/2006/main" count="13" uniqueCount="11">
  <si>
    <t>Co</t>
  </si>
  <si>
    <t>S/N</t>
  </si>
  <si>
    <t>Isotherm modelling data</t>
  </si>
  <si>
    <t>Time (min)</t>
  </si>
  <si>
    <t>Co (mg/L)</t>
  </si>
  <si>
    <t>Kinetic modelling data</t>
  </si>
  <si>
    <t>SD</t>
  </si>
  <si>
    <t xml:space="preserve">Mean Ce </t>
  </si>
  <si>
    <t>Mean qe</t>
  </si>
  <si>
    <t>Mean Ce (mg/L)</t>
  </si>
  <si>
    <t>Mean qt (mg/g)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</si>
</sst>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521F4-1AEA-4A07-9F3F-72E8EC6A5C33}">
  <dimension ref="A2:L14"/>
  <sheetViews>
    <sheetView tabSelected="1" workbookViewId="0">
      <selection activeCell="D19" sqref="D19"/>
    </sheetView>
  </sheetViews>
  <sheetFormatPr defaultRowHeight="15" x14ac:dyDescent="0.25"/>
  <cols>
    <col min="2" max="2" width="14.7109375" customWidth="1"/>
    <col min="3" max="3" width="13.85546875" customWidth="1"/>
    <col min="4" max="4" width="14.42578125" customWidth="1"/>
    <col min="8" max="8" width="12" customWidth="1"/>
    <col min="9" max="9" width="11.140625" customWidth="1"/>
    <col min="10" max="10" width="15.28515625" customWidth="1"/>
    <col min="11" max="11" width="14.5703125" customWidth="1"/>
  </cols>
  <sheetData>
    <row r="2" spans="1:12" x14ac:dyDescent="0.25">
      <c r="A2" s="3" t="s">
        <v>2</v>
      </c>
      <c r="B2" s="4"/>
      <c r="C2" s="4"/>
      <c r="D2" s="4"/>
      <c r="E2" s="5"/>
      <c r="G2" s="3" t="s">
        <v>5</v>
      </c>
      <c r="H2" s="4"/>
      <c r="I2" s="4"/>
      <c r="J2" s="4"/>
      <c r="K2" s="4"/>
      <c r="L2" s="5"/>
    </row>
    <row r="3" spans="1:12" x14ac:dyDescent="0.25">
      <c r="A3" s="1" t="s">
        <v>1</v>
      </c>
      <c r="B3" s="1" t="s">
        <v>0</v>
      </c>
      <c r="C3" s="1" t="s">
        <v>7</v>
      </c>
      <c r="D3" s="1" t="s">
        <v>8</v>
      </c>
      <c r="E3" s="6" t="s">
        <v>6</v>
      </c>
      <c r="G3" s="1" t="s">
        <v>1</v>
      </c>
      <c r="H3" s="1" t="s">
        <v>3</v>
      </c>
      <c r="I3" s="1" t="s">
        <v>4</v>
      </c>
      <c r="J3" s="1" t="s">
        <v>9</v>
      </c>
      <c r="K3" s="1" t="s">
        <v>10</v>
      </c>
      <c r="L3" s="6" t="s">
        <v>6</v>
      </c>
    </row>
    <row r="4" spans="1:12" x14ac:dyDescent="0.25">
      <c r="A4" s="1">
        <v>1</v>
      </c>
      <c r="B4" s="1">
        <v>50</v>
      </c>
      <c r="C4" s="1">
        <v>6.65</v>
      </c>
      <c r="D4" s="2">
        <v>35.653849999999998</v>
      </c>
      <c r="E4" s="1">
        <v>2.83</v>
      </c>
      <c r="G4" s="1">
        <v>1</v>
      </c>
      <c r="H4" s="1">
        <v>5</v>
      </c>
      <c r="I4" s="1">
        <v>113</v>
      </c>
      <c r="J4" s="1">
        <v>70.242999999999995</v>
      </c>
      <c r="K4" s="1">
        <v>32.89</v>
      </c>
      <c r="L4" s="1">
        <v>2.61</v>
      </c>
    </row>
    <row r="5" spans="1:12" x14ac:dyDescent="0.25">
      <c r="A5" s="1">
        <v>2</v>
      </c>
      <c r="B5" s="1">
        <v>65</v>
      </c>
      <c r="C5" s="1">
        <v>7.33</v>
      </c>
      <c r="D5" s="2">
        <v>45.9</v>
      </c>
      <c r="E5" s="1">
        <v>2.76</v>
      </c>
      <c r="G5" s="1">
        <f>G4+1</f>
        <v>2</v>
      </c>
      <c r="H5" s="1">
        <v>10</v>
      </c>
      <c r="I5" s="1">
        <v>113</v>
      </c>
      <c r="J5" s="1">
        <v>53.147999999999996</v>
      </c>
      <c r="K5" s="1">
        <v>46.04</v>
      </c>
      <c r="L5" s="1">
        <v>1.78</v>
      </c>
    </row>
    <row r="6" spans="1:12" x14ac:dyDescent="0.25">
      <c r="A6" s="1">
        <v>3</v>
      </c>
      <c r="B6" s="1">
        <v>80</v>
      </c>
      <c r="C6" s="1">
        <v>10.52</v>
      </c>
      <c r="D6" s="2">
        <v>55.75385</v>
      </c>
      <c r="E6" s="1">
        <v>2.13</v>
      </c>
      <c r="G6" s="1">
        <f t="shared" ref="G6:G14" si="0">G5+1</f>
        <v>3</v>
      </c>
      <c r="H6" s="1">
        <v>15</v>
      </c>
      <c r="I6" s="1">
        <v>113</v>
      </c>
      <c r="J6" s="1">
        <v>48.676000000000002</v>
      </c>
      <c r="K6" s="1">
        <v>49.48</v>
      </c>
      <c r="L6" s="1">
        <v>2.74</v>
      </c>
    </row>
    <row r="7" spans="1:12" x14ac:dyDescent="0.25">
      <c r="A7" s="1">
        <v>4</v>
      </c>
      <c r="B7" s="1">
        <v>100</v>
      </c>
      <c r="C7" s="1">
        <v>11.4</v>
      </c>
      <c r="D7" s="2">
        <v>68.923079999999999</v>
      </c>
      <c r="E7" s="1">
        <v>2.61</v>
      </c>
      <c r="G7" s="1">
        <f t="shared" si="0"/>
        <v>4</v>
      </c>
      <c r="H7" s="1">
        <v>20</v>
      </c>
      <c r="I7" s="1">
        <v>113</v>
      </c>
      <c r="J7" s="1">
        <v>37.677999999999997</v>
      </c>
      <c r="K7" s="1">
        <v>57.94</v>
      </c>
      <c r="L7" s="1">
        <v>3.18</v>
      </c>
    </row>
    <row r="8" spans="1:12" x14ac:dyDescent="0.25">
      <c r="A8" s="1">
        <v>5</v>
      </c>
      <c r="B8" s="1">
        <v>120</v>
      </c>
      <c r="C8" s="1">
        <v>16.079999999999998</v>
      </c>
      <c r="D8" s="2">
        <v>79.938460000000006</v>
      </c>
      <c r="E8" s="1">
        <v>3.15</v>
      </c>
      <c r="G8" s="1">
        <f t="shared" si="0"/>
        <v>5</v>
      </c>
      <c r="H8" s="1">
        <v>30</v>
      </c>
      <c r="I8" s="1">
        <v>113</v>
      </c>
      <c r="J8" s="1">
        <v>33.023999999999987</v>
      </c>
      <c r="K8" s="1">
        <v>61.52</v>
      </c>
      <c r="L8" s="1">
        <v>2.93</v>
      </c>
    </row>
    <row r="9" spans="1:12" x14ac:dyDescent="0.25">
      <c r="A9" s="1">
        <v>6</v>
      </c>
      <c r="B9" s="1">
        <v>150</v>
      </c>
      <c r="C9" s="1">
        <v>26.55</v>
      </c>
      <c r="D9" s="2">
        <v>94.961539999999999</v>
      </c>
      <c r="E9" s="1">
        <v>2.89</v>
      </c>
      <c r="G9" s="1">
        <f t="shared" si="0"/>
        <v>6</v>
      </c>
      <c r="H9" s="1">
        <v>45</v>
      </c>
      <c r="I9" s="1">
        <v>113</v>
      </c>
      <c r="J9" s="1">
        <v>20.609000000000009</v>
      </c>
      <c r="K9" s="1">
        <v>71.069999999999993</v>
      </c>
      <c r="L9" s="1">
        <v>2.96</v>
      </c>
    </row>
    <row r="10" spans="1:12" x14ac:dyDescent="0.25">
      <c r="A10" s="1">
        <v>7</v>
      </c>
      <c r="B10" s="1">
        <v>175</v>
      </c>
      <c r="C10" s="1">
        <v>40.6</v>
      </c>
      <c r="D10" s="2">
        <v>103.38460000000001</v>
      </c>
      <c r="E10" s="1">
        <v>2.64</v>
      </c>
      <c r="G10" s="1">
        <f t="shared" si="0"/>
        <v>7</v>
      </c>
      <c r="H10" s="1">
        <v>60</v>
      </c>
      <c r="I10" s="1">
        <v>113</v>
      </c>
      <c r="J10" s="1">
        <v>19.321999999999989</v>
      </c>
      <c r="K10" s="1">
        <v>72.06</v>
      </c>
      <c r="L10" s="1">
        <v>2.56</v>
      </c>
    </row>
    <row r="11" spans="1:12" x14ac:dyDescent="0.25">
      <c r="A11" s="1">
        <v>8</v>
      </c>
      <c r="B11" s="1">
        <v>200</v>
      </c>
      <c r="C11" s="1">
        <v>58.2</v>
      </c>
      <c r="D11" s="2">
        <v>114.4615</v>
      </c>
      <c r="E11" s="1">
        <v>3.39</v>
      </c>
      <c r="G11" s="1">
        <f t="shared" si="0"/>
        <v>8</v>
      </c>
      <c r="H11" s="1">
        <v>90</v>
      </c>
      <c r="I11" s="1">
        <v>113</v>
      </c>
      <c r="J11" s="1">
        <v>12.86099999999999</v>
      </c>
      <c r="K11" s="1">
        <v>77.03</v>
      </c>
      <c r="L11" s="1">
        <v>2.16</v>
      </c>
    </row>
    <row r="12" spans="1:12" x14ac:dyDescent="0.25">
      <c r="A12" s="1">
        <v>9</v>
      </c>
      <c r="B12" s="1">
        <v>225</v>
      </c>
      <c r="C12" s="1">
        <v>69.08</v>
      </c>
      <c r="D12" s="2">
        <v>119.9423</v>
      </c>
      <c r="E12" s="1">
        <v>3.06</v>
      </c>
      <c r="G12" s="1">
        <f t="shared" si="0"/>
        <v>9</v>
      </c>
      <c r="H12" s="1">
        <v>120</v>
      </c>
      <c r="I12" s="1">
        <v>113</v>
      </c>
      <c r="J12" s="1">
        <v>12.171999999999997</v>
      </c>
      <c r="K12" s="1">
        <v>77.56</v>
      </c>
      <c r="L12" s="1">
        <v>2.82</v>
      </c>
    </row>
    <row r="13" spans="1:12" x14ac:dyDescent="0.25">
      <c r="A13" s="1">
        <v>10</v>
      </c>
      <c r="B13" s="1">
        <v>250</v>
      </c>
      <c r="C13" s="1">
        <v>85.4</v>
      </c>
      <c r="D13" s="2">
        <v>124.61539999999999</v>
      </c>
      <c r="E13" s="1">
        <v>2.97</v>
      </c>
      <c r="G13" s="1">
        <f t="shared" si="0"/>
        <v>10</v>
      </c>
      <c r="H13" s="1">
        <v>150</v>
      </c>
      <c r="I13" s="1">
        <v>113</v>
      </c>
      <c r="J13" s="1">
        <v>7.8689999999999856</v>
      </c>
      <c r="K13" s="1">
        <v>80.87</v>
      </c>
      <c r="L13" s="1">
        <v>2.0699999999999998</v>
      </c>
    </row>
    <row r="14" spans="1:12" x14ac:dyDescent="0.25">
      <c r="G14" s="1">
        <f t="shared" si="0"/>
        <v>11</v>
      </c>
      <c r="H14" s="1">
        <v>180</v>
      </c>
      <c r="I14" s="1">
        <v>113</v>
      </c>
      <c r="J14" s="1">
        <v>3.8130000000000024</v>
      </c>
      <c r="K14" s="1">
        <v>83.99</v>
      </c>
      <c r="L14" s="1">
        <v>1.32</v>
      </c>
    </row>
  </sheetData>
  <mergeCells count="2">
    <mergeCell ref="A2:E2"/>
    <mergeCell ref="G2:L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77239-B85B-49C1-8C2C-F9D4C691DC79}">
  <dimension ref="B2:D12"/>
  <sheetViews>
    <sheetView workbookViewId="0">
      <selection activeCell="C9" sqref="C9"/>
    </sheetView>
  </sheetViews>
  <sheetFormatPr defaultRowHeight="15" x14ac:dyDescent="0.25"/>
  <cols>
    <col min="3" max="3" width="17.28515625" customWidth="1"/>
  </cols>
  <sheetData>
    <row r="2" spans="2:4" x14ac:dyDescent="0.25">
      <c r="B2">
        <v>113</v>
      </c>
      <c r="C2">
        <f>113-(1.3*D2)</f>
        <v>70.242999999999995</v>
      </c>
      <c r="D2">
        <v>32.89</v>
      </c>
    </row>
    <row r="3" spans="2:4" x14ac:dyDescent="0.25">
      <c r="B3">
        <v>113</v>
      </c>
      <c r="C3">
        <f t="shared" ref="C3:C12" si="0">113-(1.3*D3)</f>
        <v>53.147999999999996</v>
      </c>
      <c r="D3">
        <v>46.04</v>
      </c>
    </row>
    <row r="4" spans="2:4" x14ac:dyDescent="0.25">
      <c r="B4">
        <v>113</v>
      </c>
      <c r="C4">
        <f t="shared" si="0"/>
        <v>48.676000000000002</v>
      </c>
      <c r="D4">
        <v>49.48</v>
      </c>
    </row>
    <row r="5" spans="2:4" x14ac:dyDescent="0.25">
      <c r="B5">
        <v>113</v>
      </c>
      <c r="C5">
        <f t="shared" si="0"/>
        <v>37.677999999999997</v>
      </c>
      <c r="D5">
        <v>57.94</v>
      </c>
    </row>
    <row r="6" spans="2:4" x14ac:dyDescent="0.25">
      <c r="B6">
        <v>113</v>
      </c>
      <c r="C6">
        <f t="shared" si="0"/>
        <v>33.023999999999987</v>
      </c>
      <c r="D6">
        <v>61.52</v>
      </c>
    </row>
    <row r="7" spans="2:4" x14ac:dyDescent="0.25">
      <c r="B7">
        <v>113</v>
      </c>
      <c r="C7">
        <f t="shared" si="0"/>
        <v>20.609000000000009</v>
      </c>
      <c r="D7">
        <v>71.069999999999993</v>
      </c>
    </row>
    <row r="8" spans="2:4" x14ac:dyDescent="0.25">
      <c r="B8">
        <v>113</v>
      </c>
      <c r="C8">
        <f t="shared" si="0"/>
        <v>19.321999999999989</v>
      </c>
      <c r="D8">
        <v>72.06</v>
      </c>
    </row>
    <row r="9" spans="2:4" x14ac:dyDescent="0.25">
      <c r="B9">
        <v>113</v>
      </c>
      <c r="C9">
        <f t="shared" si="0"/>
        <v>12.86099999999999</v>
      </c>
      <c r="D9">
        <v>77.03</v>
      </c>
    </row>
    <row r="10" spans="2:4" x14ac:dyDescent="0.25">
      <c r="B10">
        <v>113</v>
      </c>
      <c r="C10">
        <f t="shared" si="0"/>
        <v>12.171999999999997</v>
      </c>
      <c r="D10">
        <v>77.56</v>
      </c>
    </row>
    <row r="11" spans="2:4" x14ac:dyDescent="0.25">
      <c r="B11">
        <v>113</v>
      </c>
      <c r="C11">
        <f t="shared" si="0"/>
        <v>7.8689999999999856</v>
      </c>
      <c r="D11">
        <v>80.87</v>
      </c>
    </row>
    <row r="12" spans="2:4" x14ac:dyDescent="0.25">
      <c r="B12">
        <v>113</v>
      </c>
      <c r="C12">
        <f t="shared" si="0"/>
        <v>3.8130000000000024</v>
      </c>
      <c r="D12">
        <v>83.99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Iso-Kin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TIGAN</dc:creator>
  <cp:lastModifiedBy>user</cp:lastModifiedBy>
  <dcterms:created xsi:type="dcterms:W3CDTF">2015-06-05T18:17:20Z</dcterms:created>
  <dcterms:modified xsi:type="dcterms:W3CDTF">2026-07-19T04:59:51Z</dcterms:modified>
</cp:coreProperties>
</file>